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<sst xmlns="http://schemas.openxmlformats.org/spreadsheetml/2006/main" count="76" uniqueCount="62">
  <si>
    <t>stt</t>
  </si>
  <si>
    <t>상태</t>
  </si>
  <si>
    <t>날짜</t>
  </si>
  <si>
    <t>브랜드</t>
  </si>
  <si>
    <t>제품</t>
  </si>
  <si>
    <t>손님</t>
  </si>
  <si>
    <t>노트</t>
  </si>
  <si>
    <t>수량</t>
  </si>
  <si>
    <t>가격</t>
  </si>
  <si>
    <t>예약금</t>
  </si>
  <si>
    <t>한베 배송비</t>
  </si>
  <si>
    <t>줘야 되는 금액</t>
  </si>
  <si>
    <t>이름</t>
  </si>
  <si>
    <t>링크</t>
  </si>
  <si>
    <t>전화번호</t>
  </si>
  <si>
    <t>주소</t>
  </si>
  <si>
    <t>한국 금액</t>
  </si>
  <si>
    <t>베트남돈으로</t>
  </si>
  <si>
    <t>판매 가격 (1개당)</t>
  </si>
  <si>
    <t>한국 내 배송비</t>
  </si>
  <si>
    <t>총</t>
  </si>
  <si>
    <t>이익</t>
  </si>
  <si>
    <t>구매</t>
  </si>
  <si>
    <t>Clio</t>
  </si>
  <si>
    <t>[1+1+1] 버터밤 크레용 기획 [본품+샤프너증정]</t>
  </si>
  <si>
    <t>https://clubclio.co.kr/shop/goodsView/0000006846#page1&amp;id=0000006846</t>
  </si>
  <si>
    <t>Nguyen Phuong Quynh</t>
  </si>
  <si>
    <t>1, 4, 9 색깔</t>
  </si>
  <si>
    <t>Bioderma</t>
  </si>
  <si>
    <t>핑크색인 Bioderma 클랜징 워터</t>
  </si>
  <si>
    <t>https://m.kor.lottedfs.com/kr/product/productDetail?prdNo=20000613207&amp;prdOptNo=&amp;ospcStockGrpNo=&amp;autoApp=Y</t>
  </si>
  <si>
    <t>Dao Anh</t>
  </si>
  <si>
    <t>dutyfree에서 사기</t>
  </si>
  <si>
    <t>Mediheal</t>
  </si>
  <si>
    <t>Mediheal 팩</t>
  </si>
  <si>
    <t>https://m.oliveyoung.co.kr/m/goods/getGoodsDetail.do?goodsNo=A000000223414</t>
  </si>
  <si>
    <t>Trang Ngo</t>
  </si>
  <si>
    <t xml:space="preserve">노란색 </t>
  </si>
  <si>
    <t>문제</t>
  </si>
  <si>
    <t>Dalba</t>
  </si>
  <si>
    <t>Dalba 선크림</t>
  </si>
  <si>
    <t>https://m.oliveyoung.co.kr/m/goods/getGoodsDetail.do?goodsNo=A000000238904</t>
  </si>
  <si>
    <t>Ngọc Thuý</t>
  </si>
  <si>
    <t>0397046166</t>
  </si>
  <si>
    <t>65 hải phòng - phường thạch thang - tp đà nẵng</t>
  </si>
  <si>
    <t>보라색</t>
  </si>
  <si>
    <t>Make p:rem</t>
  </si>
  <si>
    <t>Make p:rem 선크림</t>
  </si>
  <si>
    <t>https://www.oliveyoung.co.kr/store/goods/getGoodsDetail.do?goodsNo=A000000202359&amp;t_page=%ED%86%B5%ED%95%A9%EA%B2%80%EC%83%89%EA%B2%B0%EA%B3%BC%ED%8E%98%EC%9D%B4%EC%A7%80&amp;t_click=%EA%B2%80%EC%83%89%EC%83%81%ED%92%88%EC%83%81%EC%84%B8&amp;t_search_name=make%20prem&amp;t_number=6&amp;dispCatNo=1000001001100060001&amp;trackingCd=Result_6</t>
  </si>
  <si>
    <t>핑크색</t>
  </si>
  <si>
    <t>https://m.oliveyoung.co.kr/m/goods/getGoodsDetail.do?goodsNo=A000000184159</t>
  </si>
  <si>
    <t>Thu Hằng</t>
  </si>
  <si>
    <t>녹색</t>
  </si>
  <si>
    <t>Torriden</t>
  </si>
  <si>
    <t>Torriden 립밤</t>
  </si>
  <si>
    <t>https://www.oliveyoung.co.kr/store/goods/getGoodsDetail.do?goodsNo=A000000253564&amp;t_page=%ED%86%B5%ED%95%A9%EA%B2%80%EC%83%89%EA%B2%B0%EA%B3%BC%ED%8E%98%EC%9D%B4%EC%A7%80&amp;t_click=%EA%B2%80%EC%83%89%EC%83%81%ED%92%88%EC%83%81%EC%84%B8&amp;t_search_name=torriden&amp;t_number=5&amp;dispCatNo=1000001000200060001&amp;trackingCd=Result_5</t>
  </si>
  <si>
    <t>핑크 색 2개+ 햐얀 색 1개 세트</t>
  </si>
  <si>
    <t>Numbuzin</t>
  </si>
  <si>
    <t>[넘버즈인] 1번 판토텐산 액티브 수딩크림 80ml 1+1 기획</t>
  </si>
  <si>
    <t>https://www.oliveyoung.co.kr/store/goods/getGoodsDetail.do?goodsNo=A000000229151&amp;t_page=%ED%86%B5%ED%95%A9%EA%B2%80%EC%83%89%EA%B2%B0%EA%B3%BC%ED%8E%98%EC%9D%B4%EC%A7%80&amp;t_click=%EA%B2%80%EC%83%89%EC%83%81%ED%92%88%EC%83%81%EC%84%B8&amp;t_search_name=numbuzin&amp;t_number=18&amp;dispCatNo=1000001000100150001&amp;trackingCd=Result_11_30</t>
  </si>
  <si>
    <t>Mỷ Tâm</t>
  </si>
  <si>
    <t xml:space="preserve">Thuy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</si>
</sst>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7">
    <font>
      <sz val="10.0"/>
      <color rgb="FF000000"/>
      <name val="Arial"/>
      <scheme val="minor"/>
    </font>
    <font>
      <color theme="1"/>
      <name val="Arial"/>
    </font>
    <font/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shrinkToFit="0" wrapText="0"/>
    </xf>
    <xf borderId="3" fillId="0" fontId="2" numFmtId="0" xfId="0" applyBorder="1" applyFont="1"/>
    <xf borderId="2" fillId="0" fontId="1" numFmtId="0" xfId="0" applyAlignment="1" applyBorder="1" applyFont="1">
      <alignment horizontal="center"/>
    </xf>
    <xf borderId="4" fillId="0" fontId="2" numFmtId="0" xfId="0" applyBorder="1" applyFont="1"/>
    <xf borderId="1" fillId="0" fontId="1" numFmtId="0" xfId="0" applyAlignment="1" applyBorder="1" applyFont="1">
      <alignment horizontal="center" shrinkToFit="0" wrapText="0"/>
    </xf>
    <xf borderId="2" fillId="0" fontId="1" numFmtId="3" xfId="0" applyAlignment="1" applyBorder="1" applyFont="1" applyNumberFormat="1">
      <alignment horizontal="center"/>
    </xf>
    <xf borderId="1" fillId="0" fontId="1" numFmtId="3" xfId="0" applyAlignment="1" applyBorder="1" applyFont="1" applyNumberFormat="1">
      <alignment horizontal="center"/>
    </xf>
    <xf borderId="0" fillId="0" fontId="1" numFmtId="0" xfId="0" applyAlignment="1" applyFont="1">
      <alignment vertical="bottom"/>
    </xf>
    <xf borderId="5" fillId="0" fontId="2" numFmtId="0" xfId="0" applyBorder="1" applyFont="1"/>
    <xf borderId="6" fillId="0" fontId="1" numFmtId="0" xfId="0" applyAlignment="1" applyBorder="1" applyFont="1">
      <alignment horizontal="center" shrinkToFit="0" wrapText="0"/>
    </xf>
    <xf borderId="6" fillId="0" fontId="1" numFmtId="0" xfId="0" applyAlignment="1" applyBorder="1" applyFont="1">
      <alignment horizontal="center"/>
    </xf>
    <xf borderId="6" fillId="0" fontId="1" numFmtId="49" xfId="0" applyAlignment="1" applyBorder="1" applyFont="1" applyNumberFormat="1">
      <alignment horizontal="center"/>
    </xf>
    <xf borderId="6" fillId="0" fontId="1" numFmtId="3" xfId="0" applyAlignment="1" applyBorder="1" applyFont="1" applyNumberFormat="1">
      <alignment horizontal="center"/>
    </xf>
    <xf borderId="6" fillId="0" fontId="1" numFmtId="0" xfId="0" applyAlignment="1" applyBorder="1" applyFont="1">
      <alignment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2" fontId="1" numFmtId="49" xfId="0" applyAlignment="1" applyFont="1" applyNumberFormat="1">
      <alignment vertical="bottom"/>
    </xf>
    <xf borderId="0" fillId="2" fontId="1" numFmtId="0" xfId="0" applyAlignment="1" applyFont="1">
      <alignment horizontal="center" vertical="bottom"/>
    </xf>
    <xf borderId="0" fillId="2" fontId="1" numFmtId="3" xfId="0" applyAlignment="1" applyFont="1" applyNumberFormat="1">
      <alignment horizontal="right" vertical="bottom"/>
    </xf>
    <xf borderId="0" fillId="2" fontId="1" numFmtId="3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0" fontId="1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vertical="bottom"/>
    </xf>
    <xf borderId="0" fillId="2" fontId="1" numFmtId="164" xfId="0" applyAlignment="1" applyFont="1" applyNumberFormat="1">
      <alignment horizontal="right" vertical="bottom"/>
    </xf>
    <xf borderId="0" fillId="2" fontId="1" numFmtId="164" xfId="0" applyAlignment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shrinkToFit="0" vertical="bottom" wrapText="0"/>
    </xf>
    <xf borderId="0" fillId="3" fontId="5" numFmtId="0" xfId="0" applyAlignment="1" applyFont="1">
      <alignment shrinkToFit="0" vertical="bottom" wrapText="0"/>
    </xf>
    <xf borderId="0" fillId="3" fontId="1" numFmtId="49" xfId="0" applyAlignment="1" applyFont="1" applyNumberFormat="1">
      <alignment vertical="bottom"/>
    </xf>
    <xf borderId="0" fillId="3" fontId="1" numFmtId="0" xfId="0" applyAlignment="1" applyFont="1">
      <alignment horizontal="center" vertical="bottom"/>
    </xf>
    <xf borderId="0" fillId="3" fontId="1" numFmtId="3" xfId="0" applyAlignment="1" applyFont="1" applyNumberFormat="1">
      <alignment vertical="bottom"/>
    </xf>
    <xf borderId="0" fillId="3" fontId="1" numFmtId="164" xfId="0" applyAlignment="1" applyFont="1" applyNumberFormat="1">
      <alignment vertical="bottom"/>
    </xf>
    <xf borderId="0" fillId="2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lubclio.co.kr/shop/goodsView/0000006846" TargetMode="External"/><Relationship Id="rId2" Type="http://schemas.openxmlformats.org/officeDocument/2006/relationships/hyperlink" Target="https://m.kor.lottedfs.com/kr/product/productDetail?prdNo=20000613207&amp;prdOptNo=&amp;ospcStockGrpNo=&amp;autoApp=Y" TargetMode="External"/><Relationship Id="rId3" Type="http://schemas.openxmlformats.org/officeDocument/2006/relationships/hyperlink" Target="https://m.oliveyoung.co.kr/m/goods/getGoodsDetail.do?goodsNo=A000000223414" TargetMode="External"/><Relationship Id="rId4" Type="http://schemas.openxmlformats.org/officeDocument/2006/relationships/hyperlink" Target="https://m.oliveyoung.co.kr/m/goods/getGoodsDetail.do?goodsNo=A000000238904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m.oliveyoung.co.kr/m/goods/getGoodsDetail.do?goodsNo=A000000184159" TargetMode="External"/><Relationship Id="rId5" Type="http://schemas.openxmlformats.org/officeDocument/2006/relationships/hyperlink" Target="https://www.oliveyoung.co.kr/store/goods/getGoodsDetail.do?goodsNo=A000000202359&amp;t_page=%ED%86%B5%ED%95%A9%EA%B2%80%EC%83%89%EA%B2%B0%EA%B3%BC%ED%8E%98%EC%9D%B4%EC%A7%80&amp;t_click=%EA%B2%80%EC%83%89%EC%83%81%ED%92%88%EC%83%81%EC%84%B8&amp;t_search_name=make%20prem&amp;t_number=6&amp;dispCatNo=1000001001100060001&amp;trackingCd=Result_6" TargetMode="External"/><Relationship Id="rId6" Type="http://schemas.openxmlformats.org/officeDocument/2006/relationships/hyperlink" Target="https://m.oliveyoung.co.kr/m/goods/getGoodsDetail.do?goodsNo=A000000184159" TargetMode="External"/><Relationship Id="rId7" Type="http://schemas.openxmlformats.org/officeDocument/2006/relationships/hyperlink" Target="https://www.oliveyoung.co.kr/store/goods/getGoodsDetail.do?goodsNo=A000000253564&amp;t_page=%ED%86%B5%ED%95%A9%EA%B2%80%EC%83%89%EA%B2%B0%EA%B3%BC%ED%8E%98%EC%9D%B4%EC%A7%80&amp;t_click=%EA%B2%80%EC%83%89%EC%83%81%ED%92%88%EC%83%81%EC%84%B8&amp;t_search_name=torriden&amp;t_number=5&amp;dispCatNo=1000001000200060001&amp;trackingCd=Result_5" TargetMode="External"/><Relationship Id="rId8" Type="http://schemas.openxmlformats.org/officeDocument/2006/relationships/hyperlink" Target="https://www.oliveyoung.co.kr/store/goods/getGoodsDetail.do?goodsNo=A000000229151&amp;t_page=%ED%86%B5%ED%95%A9%EA%B2%80%EC%83%89%EA%B2%B0%EA%B3%BC%ED%8E%98%EC%9D%B4%EC%A7%80&amp;t_click=%EA%B2%80%EC%83%89%EC%83%81%ED%92%88%EC%83%81%EC%84%B8&amp;t_search_name=numbuzin&amp;t_number=18&amp;dispCatNo=1000001000100150001&amp;trackingCd=Result_11_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 t="s">
        <v>5</v>
      </c>
      <c r="H1" s="5"/>
      <c r="I1" s="3"/>
      <c r="J1" s="6" t="s">
        <v>6</v>
      </c>
      <c r="K1" s="1" t="s">
        <v>7</v>
      </c>
      <c r="L1" s="7" t="s">
        <v>8</v>
      </c>
      <c r="M1" s="5"/>
      <c r="N1" s="5"/>
      <c r="O1" s="5"/>
      <c r="P1" s="5"/>
      <c r="Q1" s="3"/>
      <c r="R1" s="8" t="s">
        <v>9</v>
      </c>
      <c r="S1" s="8" t="s">
        <v>10</v>
      </c>
      <c r="T1" s="1" t="s">
        <v>11</v>
      </c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>
      <c r="A2" s="10"/>
      <c r="B2" s="10"/>
      <c r="C2" s="10"/>
      <c r="D2" s="10"/>
      <c r="E2" s="11" t="s">
        <v>12</v>
      </c>
      <c r="F2" s="11" t="s">
        <v>13</v>
      </c>
      <c r="G2" s="12" t="s">
        <v>12</v>
      </c>
      <c r="H2" s="13" t="s">
        <v>14</v>
      </c>
      <c r="I2" s="11" t="s">
        <v>15</v>
      </c>
      <c r="J2" s="10"/>
      <c r="K2" s="10"/>
      <c r="L2" s="14" t="s">
        <v>16</v>
      </c>
      <c r="M2" s="12" t="s">
        <v>17</v>
      </c>
      <c r="N2" s="14" t="s">
        <v>18</v>
      </c>
      <c r="O2" s="12" t="s">
        <v>19</v>
      </c>
      <c r="P2" s="14" t="s">
        <v>20</v>
      </c>
      <c r="Q2" s="15" t="s">
        <v>21</v>
      </c>
      <c r="R2" s="10"/>
      <c r="S2" s="10"/>
      <c r="T2" s="10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>
      <c r="A3" s="16">
        <v>1.0</v>
      </c>
      <c r="B3" s="9" t="s">
        <v>22</v>
      </c>
      <c r="C3" s="17"/>
      <c r="D3" s="9" t="s">
        <v>23</v>
      </c>
      <c r="E3" s="18" t="s">
        <v>24</v>
      </c>
      <c r="F3" s="19" t="s">
        <v>25</v>
      </c>
      <c r="G3" s="17" t="s">
        <v>26</v>
      </c>
      <c r="H3" s="20"/>
      <c r="I3" s="17"/>
      <c r="J3" s="18" t="s">
        <v>27</v>
      </c>
      <c r="K3" s="21">
        <v>1.0</v>
      </c>
      <c r="L3" s="22">
        <v>7700.0</v>
      </c>
      <c r="M3" s="22">
        <f t="shared" ref="M3:M11" si="1">L3*18</f>
        <v>138600</v>
      </c>
      <c r="N3" s="22">
        <v>170000.0</v>
      </c>
      <c r="O3" s="16">
        <v>0.0</v>
      </c>
      <c r="P3" s="22">
        <f t="shared" ref="P3:P11" si="2">N3*K3+O3</f>
        <v>170000</v>
      </c>
      <c r="Q3" s="22">
        <f t="shared" ref="Q3:Q10" si="3">P3-M3*K3</f>
        <v>31400</v>
      </c>
      <c r="R3" s="22">
        <v>0.0</v>
      </c>
      <c r="S3" s="23"/>
      <c r="T3" s="22">
        <f t="shared" ref="T3:T11" si="4">P3-R3+S3</f>
        <v>170000</v>
      </c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>
      <c r="A4" s="24">
        <f t="shared" ref="A4:A11" si="5">A3+1</f>
        <v>2</v>
      </c>
      <c r="B4" s="9"/>
      <c r="C4" s="9"/>
      <c r="D4" s="9" t="s">
        <v>28</v>
      </c>
      <c r="E4" s="25" t="s">
        <v>29</v>
      </c>
      <c r="F4" s="26" t="s">
        <v>30</v>
      </c>
      <c r="G4" s="9" t="s">
        <v>31</v>
      </c>
      <c r="H4" s="27"/>
      <c r="I4" s="9"/>
      <c r="J4" s="25" t="s">
        <v>32</v>
      </c>
      <c r="K4" s="28">
        <v>1.0</v>
      </c>
      <c r="L4" s="29">
        <v>17500.0</v>
      </c>
      <c r="M4" s="22">
        <f t="shared" si="1"/>
        <v>315000</v>
      </c>
      <c r="N4" s="29">
        <v>425000.0</v>
      </c>
      <c r="O4" s="24">
        <v>0.0</v>
      </c>
      <c r="P4" s="22">
        <f t="shared" si="2"/>
        <v>425000</v>
      </c>
      <c r="Q4" s="22">
        <f t="shared" si="3"/>
        <v>110000</v>
      </c>
      <c r="R4" s="30"/>
      <c r="S4" s="30"/>
      <c r="T4" s="22">
        <f t="shared" si="4"/>
        <v>425000</v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>
      <c r="A5" s="16">
        <f t="shared" si="5"/>
        <v>3</v>
      </c>
      <c r="B5" s="9" t="s">
        <v>22</v>
      </c>
      <c r="C5" s="31">
        <v>46145.0</v>
      </c>
      <c r="D5" s="9" t="s">
        <v>33</v>
      </c>
      <c r="E5" s="18" t="s">
        <v>34</v>
      </c>
      <c r="F5" s="19" t="s">
        <v>35</v>
      </c>
      <c r="G5" s="17" t="s">
        <v>36</v>
      </c>
      <c r="H5" s="20"/>
      <c r="I5" s="17"/>
      <c r="J5" s="18" t="s">
        <v>37</v>
      </c>
      <c r="K5" s="21">
        <v>2.0</v>
      </c>
      <c r="L5" s="22">
        <v>10000.0</v>
      </c>
      <c r="M5" s="22">
        <f t="shared" si="1"/>
        <v>180000</v>
      </c>
      <c r="N5" s="22">
        <v>245000.0</v>
      </c>
      <c r="O5" s="17"/>
      <c r="P5" s="22">
        <f t="shared" si="2"/>
        <v>490000</v>
      </c>
      <c r="Q5" s="22">
        <f t="shared" si="3"/>
        <v>130000</v>
      </c>
      <c r="R5" s="23"/>
      <c r="S5" s="23"/>
      <c r="T5" s="22">
        <f t="shared" si="4"/>
        <v>490000</v>
      </c>
      <c r="U5" s="32"/>
      <c r="V5" s="32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</row>
    <row r="6">
      <c r="A6" s="33">
        <f t="shared" si="5"/>
        <v>4</v>
      </c>
      <c r="B6" s="9" t="s">
        <v>38</v>
      </c>
      <c r="C6" s="34"/>
      <c r="D6" s="9" t="s">
        <v>39</v>
      </c>
      <c r="E6" s="35" t="s">
        <v>40</v>
      </c>
      <c r="F6" s="36" t="s">
        <v>41</v>
      </c>
      <c r="G6" s="34" t="s">
        <v>42</v>
      </c>
      <c r="H6" s="37" t="s">
        <v>43</v>
      </c>
      <c r="I6" s="35" t="s">
        <v>44</v>
      </c>
      <c r="J6" s="35" t="s">
        <v>45</v>
      </c>
      <c r="K6" s="38">
        <v>1.0</v>
      </c>
      <c r="L6" s="39"/>
      <c r="M6" s="22">
        <f t="shared" si="1"/>
        <v>0</v>
      </c>
      <c r="N6" s="39"/>
      <c r="O6" s="34"/>
      <c r="P6" s="22">
        <f t="shared" si="2"/>
        <v>0</v>
      </c>
      <c r="Q6" s="22">
        <f t="shared" si="3"/>
        <v>0</v>
      </c>
      <c r="R6" s="39"/>
      <c r="S6" s="39"/>
      <c r="T6" s="22">
        <f t="shared" si="4"/>
        <v>0</v>
      </c>
      <c r="U6" s="40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</row>
    <row r="7">
      <c r="A7" s="16">
        <f t="shared" si="5"/>
        <v>5</v>
      </c>
      <c r="B7" s="9" t="s">
        <v>22</v>
      </c>
      <c r="C7" s="31">
        <v>46145.0</v>
      </c>
      <c r="D7" s="9" t="s">
        <v>46</v>
      </c>
      <c r="E7" s="18" t="s">
        <v>47</v>
      </c>
      <c r="F7" s="41" t="s">
        <v>48</v>
      </c>
      <c r="J7" s="18" t="s">
        <v>49</v>
      </c>
      <c r="K7" s="21">
        <v>1.0</v>
      </c>
      <c r="L7" s="22">
        <v>23500.0</v>
      </c>
      <c r="M7" s="22">
        <f t="shared" si="1"/>
        <v>423000</v>
      </c>
      <c r="N7" s="22">
        <v>470000.0</v>
      </c>
      <c r="O7" s="17"/>
      <c r="P7" s="22">
        <f t="shared" si="2"/>
        <v>470000</v>
      </c>
      <c r="Q7" s="22">
        <f t="shared" si="3"/>
        <v>47000</v>
      </c>
      <c r="R7" s="23"/>
      <c r="S7" s="23"/>
      <c r="T7" s="22">
        <f t="shared" si="4"/>
        <v>470000</v>
      </c>
      <c r="U7" s="32"/>
      <c r="V7" s="32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</row>
    <row r="8">
      <c r="A8" s="16">
        <f t="shared" si="5"/>
        <v>6</v>
      </c>
      <c r="B8" s="9" t="s">
        <v>22</v>
      </c>
      <c r="C8" s="31">
        <v>46145.0</v>
      </c>
      <c r="D8" s="9" t="s">
        <v>46</v>
      </c>
      <c r="E8" s="18" t="s">
        <v>47</v>
      </c>
      <c r="F8" s="19" t="s">
        <v>50</v>
      </c>
      <c r="G8" s="17" t="s">
        <v>51</v>
      </c>
      <c r="H8" s="20"/>
      <c r="I8" s="17"/>
      <c r="J8" s="18" t="s">
        <v>52</v>
      </c>
      <c r="K8" s="21">
        <v>1.0</v>
      </c>
      <c r="L8" s="22">
        <v>23500.0</v>
      </c>
      <c r="M8" s="22">
        <f t="shared" si="1"/>
        <v>423000</v>
      </c>
      <c r="N8" s="22">
        <v>470000.0</v>
      </c>
      <c r="O8" s="17"/>
      <c r="P8" s="22">
        <f t="shared" si="2"/>
        <v>470000</v>
      </c>
      <c r="Q8" s="22">
        <f t="shared" si="3"/>
        <v>47000</v>
      </c>
      <c r="R8" s="23"/>
      <c r="S8" s="23"/>
      <c r="T8" s="22">
        <f t="shared" si="4"/>
        <v>470000</v>
      </c>
      <c r="U8" s="32"/>
      <c r="V8" s="32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>
      <c r="A9" s="16">
        <f t="shared" si="5"/>
        <v>7</v>
      </c>
      <c r="B9" s="9" t="s">
        <v>22</v>
      </c>
      <c r="C9" s="31">
        <v>46145.0</v>
      </c>
      <c r="D9" s="9" t="s">
        <v>53</v>
      </c>
      <c r="E9" s="18" t="s">
        <v>54</v>
      </c>
      <c r="F9" s="19" t="s">
        <v>55</v>
      </c>
      <c r="G9" s="17" t="s">
        <v>51</v>
      </c>
      <c r="H9" s="20"/>
      <c r="I9" s="17"/>
      <c r="J9" s="18" t="s">
        <v>56</v>
      </c>
      <c r="K9" s="21">
        <v>1.0</v>
      </c>
      <c r="L9" s="22">
        <v>13900.0</v>
      </c>
      <c r="M9" s="22">
        <f t="shared" si="1"/>
        <v>250200</v>
      </c>
      <c r="N9" s="22">
        <v>285000.0</v>
      </c>
      <c r="O9" s="17"/>
      <c r="P9" s="22">
        <f t="shared" si="2"/>
        <v>285000</v>
      </c>
      <c r="Q9" s="22">
        <f t="shared" si="3"/>
        <v>34800</v>
      </c>
      <c r="R9" s="23"/>
      <c r="S9" s="23"/>
      <c r="T9" s="22">
        <f t="shared" si="4"/>
        <v>285000</v>
      </c>
      <c r="U9" s="32"/>
      <c r="V9" s="32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>
      <c r="A10" s="16">
        <f t="shared" si="5"/>
        <v>8</v>
      </c>
      <c r="B10" s="9" t="s">
        <v>22</v>
      </c>
      <c r="C10" s="31">
        <v>46145.0</v>
      </c>
      <c r="D10" s="9" t="s">
        <v>57</v>
      </c>
      <c r="E10" s="18" t="s">
        <v>58</v>
      </c>
      <c r="F10" s="19" t="s">
        <v>59</v>
      </c>
      <c r="G10" s="17" t="s">
        <v>60</v>
      </c>
      <c r="H10" s="20"/>
      <c r="I10" s="17"/>
      <c r="J10" s="17"/>
      <c r="K10" s="21">
        <v>1.0</v>
      </c>
      <c r="L10" s="22">
        <v>26900.0</v>
      </c>
      <c r="M10" s="22">
        <f t="shared" si="1"/>
        <v>484200</v>
      </c>
      <c r="N10" s="22">
        <v>585000.0</v>
      </c>
      <c r="O10" s="17"/>
      <c r="P10" s="22">
        <f t="shared" si="2"/>
        <v>585000</v>
      </c>
      <c r="Q10" s="22">
        <f t="shared" si="3"/>
        <v>100800</v>
      </c>
      <c r="R10" s="23"/>
      <c r="S10" s="23"/>
      <c r="T10" s="22">
        <f t="shared" si="4"/>
        <v>585000</v>
      </c>
      <c r="U10" s="32"/>
      <c r="V10" s="32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>
      <c r="A11" s="16">
        <f t="shared" si="5"/>
        <v>9</v>
      </c>
      <c r="B11" s="9" t="s">
        <v>22</v>
      </c>
      <c r="C11" s="17"/>
      <c r="D11" s="9" t="s">
        <v>46</v>
      </c>
      <c r="E11" s="18" t="s">
        <v>47</v>
      </c>
      <c r="F11" s="19" t="s">
        <v>50</v>
      </c>
      <c r="G11" s="17" t="s">
        <v>61</v>
      </c>
      <c r="H11" s="20"/>
      <c r="I11" s="17"/>
      <c r="J11" s="18" t="s">
        <v>52</v>
      </c>
      <c r="K11" s="21">
        <v>0.5</v>
      </c>
      <c r="L11" s="22">
        <v>33900.0</v>
      </c>
      <c r="M11" s="22">
        <f t="shared" si="1"/>
        <v>610200</v>
      </c>
      <c r="N11" s="22">
        <v>470000.0</v>
      </c>
      <c r="O11" s="17"/>
      <c r="P11" s="22">
        <f t="shared" si="2"/>
        <v>235000</v>
      </c>
      <c r="Q11" s="17"/>
      <c r="R11" s="23"/>
      <c r="S11" s="23"/>
      <c r="T11" s="22">
        <f t="shared" si="4"/>
        <v>235000</v>
      </c>
      <c r="U11" s="32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</sheetData>
  <mergeCells count="15">
    <mergeCell ref="G1:I1"/>
    <mergeCell ref="L1:Q1"/>
    <mergeCell ref="R1:R2"/>
    <mergeCell ref="S1:S2"/>
    <mergeCell ref="T1:T2"/>
    <mergeCell ref="G6:G7"/>
    <mergeCell ref="H6:H7"/>
    <mergeCell ref="I6:I7"/>
    <mergeCell ref="A1:A2"/>
    <mergeCell ref="B1:B2"/>
    <mergeCell ref="C1:C2"/>
    <mergeCell ref="D1:D2"/>
    <mergeCell ref="E1:F1"/>
    <mergeCell ref="J1:J2"/>
    <mergeCell ref="K1:K2"/>
  </mergeCells>
  <dataValidations>
    <dataValidation type="list" allowBlank="1" showErrorMessage="1" sqref="D3:D11">
      <formula1>"Mediheal,The ordinary,Torriden,Hera,Dr.G,Make p:rem,VT,Banila Co,Clio,Dalba,Numbuzin,Bioderma,BOC (조선미녀)"</formula1>
    </dataValidation>
    <dataValidation type="list" allowBlank="1" showErrorMessage="1" sqref="B3:B11">
      <formula1>"예약,구매,배송,완성,문제,취소"</formula1>
    </dataValidation>
  </dataValidations>
  <hyperlinks>
    <hyperlink r:id="rId1" location="page1&amp;id=0000006846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</hyperlinks>
  <drawing r:id="rId10"/>
</worksheet>
</file>